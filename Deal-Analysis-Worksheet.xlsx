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sz val="12"/>
    </font>
    <font>
      <name val="Arial"/>
      <color rgb="000000FF"/>
      <sz val="10"/>
    </font>
    <font>
      <b val="1"/>
    </font>
    <font>
      <b val="1"/>
      <color rgb="0000AA00"/>
      <sz val="12"/>
    </font>
    <font>
      <i val="1"/>
      <sz val="9"/>
    </font>
    <font>
      <b val="1"/>
      <sz val="10"/>
    </font>
    <font>
      <sz val="9"/>
    </font>
  </fonts>
  <fills count="7">
    <fill>
      <patternFill/>
    </fill>
    <fill>
      <patternFill patternType="gray125"/>
    </fill>
    <fill>
      <patternFill patternType="solid">
        <fgColor rgb="00FF6B35"/>
        <bgColor rgb="00FF6B35"/>
      </patternFill>
    </fill>
    <fill>
      <patternFill patternType="solid">
        <fgColor rgb="00FFE5D9"/>
        <bgColor rgb="00FFE5D9"/>
      </patternFill>
    </fill>
    <fill>
      <patternFill patternType="solid">
        <fgColor rgb="00E3F2FD"/>
        <bgColor rgb="00E3F2FD"/>
      </patternFill>
    </fill>
    <fill>
      <patternFill patternType="solid">
        <fgColor rgb="00F5F5F5"/>
        <bgColor rgb="00F5F5F5"/>
      </patternFill>
    </fill>
    <fill>
      <patternFill patternType="solid">
        <fgColor rgb="00D4EDDA"/>
        <bgColor rgb="00D4EDDA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0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3" fillId="4" borderId="1" pivotButton="0" quotePrefix="0" xfId="0"/>
    <xf numFmtId="164" fontId="0" fillId="0" borderId="1" pivotButton="0" quotePrefix="0" xfId="0"/>
    <xf numFmtId="164" fontId="4" fillId="5" borderId="1" pivotButton="0" quotePrefix="0" xfId="0"/>
    <xf numFmtId="0" fontId="3" fillId="4" borderId="1" pivotButton="0" quotePrefix="0" xfId="0"/>
    <xf numFmtId="164" fontId="5" fillId="6" borderId="1" pivotButton="0" quotePrefix="0" xfId="0"/>
    <xf numFmtId="165" fontId="5" fillId="6" borderId="1" pivotButton="0" quotePrefix="0" xfId="0"/>
    <xf numFmtId="0" fontId="6" fillId="0" borderId="0" pivotButton="0" quotePrefix="0" xfId="0"/>
    <xf numFmtId="165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5" customWidth="1" min="3" max="3"/>
    <col width="15" customWidth="1" min="4" max="4"/>
  </cols>
  <sheetData>
    <row r="1" ht="30" customHeight="1">
      <c r="A1" s="1" t="inlineStr">
        <is>
          <t>REAL ESTATE DEAL ANALYSIS WORKSHEET</t>
        </is>
      </c>
    </row>
    <row r="3">
      <c r="A3" s="2" t="inlineStr">
        <is>
          <t>PROPERTY INFORMATION</t>
        </is>
      </c>
    </row>
    <row r="4">
      <c r="A4" t="inlineStr">
        <is>
          <t>Property Address:</t>
        </is>
      </c>
      <c r="B4" s="3" t="n"/>
      <c r="C4" s="4" t="n"/>
      <c r="D4" s="5" t="n"/>
    </row>
    <row r="5">
      <c r="A5" t="inlineStr">
        <is>
          <t>Date:</t>
        </is>
      </c>
      <c r="B5" s="3" t="n"/>
      <c r="C5" t="inlineStr">
        <is>
          <t>Property Type:</t>
        </is>
      </c>
      <c r="D5" s="3" t="n"/>
    </row>
    <row r="7">
      <c r="A7" s="2" t="inlineStr">
        <is>
          <t>PURCHASE DETAILS</t>
        </is>
      </c>
    </row>
    <row r="8">
      <c r="A8" t="inlineStr">
        <is>
          <t>Purchase Price</t>
        </is>
      </c>
      <c r="B8" s="6" t="n">
        <v>250000</v>
      </c>
    </row>
    <row r="9">
      <c r="A9" t="inlineStr">
        <is>
          <t>Closing Costs (3-5%)</t>
        </is>
      </c>
      <c r="B9" s="7">
        <f>B9*0.04</f>
        <v/>
      </c>
    </row>
    <row r="10">
      <c r="A10" t="inlineStr">
        <is>
          <t>Total Acquisition Cost</t>
        </is>
      </c>
      <c r="B10" s="8">
        <f>SUM(B9:B10)</f>
        <v/>
      </c>
    </row>
    <row r="12">
      <c r="A12" s="2" t="inlineStr">
        <is>
          <t>REHAB/RENOVATION COSTS</t>
        </is>
      </c>
    </row>
    <row r="13">
      <c r="A13" t="inlineStr">
        <is>
          <t>Kitchen</t>
        </is>
      </c>
      <c r="B13" s="6" t="n">
        <v>15000</v>
      </c>
    </row>
    <row r="14">
      <c r="A14" t="inlineStr">
        <is>
          <t>Bathrooms</t>
        </is>
      </c>
      <c r="B14" s="6" t="n">
        <v>8000</v>
      </c>
    </row>
    <row r="15">
      <c r="A15" t="inlineStr">
        <is>
          <t>Flooring</t>
        </is>
      </c>
      <c r="B15" s="6" t="n">
        <v>5000</v>
      </c>
    </row>
    <row r="16">
      <c r="A16" t="inlineStr">
        <is>
          <t>Paint (Interior/Exterior)</t>
        </is>
      </c>
      <c r="B16" s="6" t="n">
        <v>3000</v>
      </c>
    </row>
    <row r="17">
      <c r="A17" t="inlineStr">
        <is>
          <t>Roof</t>
        </is>
      </c>
      <c r="B17" s="6" t="n">
        <v>0</v>
      </c>
    </row>
    <row r="18">
      <c r="A18" t="inlineStr">
        <is>
          <t>HVAC</t>
        </is>
      </c>
      <c r="B18" s="6" t="n">
        <v>0</v>
      </c>
    </row>
    <row r="19">
      <c r="A19" t="inlineStr">
        <is>
          <t>Electrical/Plumbing</t>
        </is>
      </c>
      <c r="B19" s="6" t="n">
        <v>2000</v>
      </c>
    </row>
    <row r="20">
      <c r="A20" t="inlineStr">
        <is>
          <t>Landscaping</t>
        </is>
      </c>
      <c r="B20" s="6" t="n">
        <v>2000</v>
      </c>
    </row>
    <row r="21">
      <c r="A21" t="inlineStr">
        <is>
          <t>Other/Contingency (10%)</t>
        </is>
      </c>
      <c r="B21" s="7">
        <f>SUM(B15:B22)*0.10</f>
        <v/>
      </c>
    </row>
    <row r="22">
      <c r="A22" t="inlineStr">
        <is>
          <t>Total Rehab Cost</t>
        </is>
      </c>
      <c r="B22" s="8">
        <f>SUM(B15:B23)</f>
        <v/>
      </c>
    </row>
    <row r="24">
      <c r="A24" s="2" t="inlineStr">
        <is>
          <t>HOLDING COSTS</t>
        </is>
      </c>
    </row>
    <row r="25">
      <c r="A25" t="inlineStr">
        <is>
          <t>Holding Period (months)</t>
        </is>
      </c>
      <c r="B25" s="9" t="n">
        <v>6</v>
      </c>
    </row>
    <row r="26">
      <c r="A26" t="inlineStr">
        <is>
          <t>Property Taxes (per month)</t>
        </is>
      </c>
      <c r="B26" s="6" t="n">
        <v>200</v>
      </c>
    </row>
    <row r="27">
      <c r="A27" t="inlineStr">
        <is>
          <t>Insurance (per month)</t>
        </is>
      </c>
      <c r="B27" s="6" t="n">
        <v>100</v>
      </c>
    </row>
    <row r="28">
      <c r="A28" t="inlineStr">
        <is>
          <t>Utilities (per month)</t>
        </is>
      </c>
      <c r="B28" s="6" t="n">
        <v>150</v>
      </c>
    </row>
    <row r="29">
      <c r="A29" t="inlineStr">
        <is>
          <t>HOA Fees (per month)</t>
        </is>
      </c>
      <c r="B29" s="6" t="n">
        <v>0</v>
      </c>
    </row>
    <row r="30">
      <c r="A30" t="inlineStr">
        <is>
          <t>Loan Interest (per month)</t>
        </is>
      </c>
      <c r="B30" s="6" t="n">
        <v>0</v>
      </c>
    </row>
    <row r="31">
      <c r="A31" t="inlineStr">
        <is>
          <t>Total Monthly Holding Cost</t>
        </is>
      </c>
      <c r="B31" s="7">
        <f>SUM(B28:B32)</f>
        <v/>
      </c>
    </row>
    <row r="32">
      <c r="A32" t="inlineStr">
        <is>
          <t>Total Holding Costs</t>
        </is>
      </c>
      <c r="B32" s="8">
        <f>B27*B33</f>
        <v/>
      </c>
    </row>
    <row r="34">
      <c r="A34" s="2" t="inlineStr">
        <is>
          <t>AFTER REPAIR VALUE (ARV) &amp; SELLING COSTS</t>
        </is>
      </c>
    </row>
    <row r="35">
      <c r="A35" t="inlineStr">
        <is>
          <t>After Repair Value (ARV)</t>
        </is>
      </c>
      <c r="B35" s="6" t="n">
        <v>350000</v>
      </c>
    </row>
    <row r="36">
      <c r="A36" t="inlineStr">
        <is>
          <t>Real Estate Commission (6%)</t>
        </is>
      </c>
      <c r="B36" s="7">
        <f>B37*0.06</f>
        <v/>
      </c>
    </row>
    <row r="37">
      <c r="A37" t="inlineStr">
        <is>
          <t>Closing Costs (2%)</t>
        </is>
      </c>
      <c r="B37" s="7">
        <f>B37*0.02</f>
        <v/>
      </c>
    </row>
    <row r="38">
      <c r="A38" t="inlineStr">
        <is>
          <t>Total Selling Costs</t>
        </is>
      </c>
      <c r="B38" s="8">
        <f>SUM(B38:B39)</f>
        <v/>
      </c>
    </row>
    <row r="40">
      <c r="A40" s="2" t="inlineStr">
        <is>
          <t>PROFIT ANALYSIS</t>
        </is>
      </c>
    </row>
    <row r="41">
      <c r="A41" t="inlineStr">
        <is>
          <t>Total Investment</t>
        </is>
      </c>
      <c r="B41" s="8">
        <f>B11+B24+B34</f>
        <v/>
      </c>
    </row>
    <row r="42">
      <c r="A42" t="inlineStr">
        <is>
          <t>ARV (After Repair Value)</t>
        </is>
      </c>
      <c r="B42" s="8">
        <f>B37</f>
        <v/>
      </c>
    </row>
    <row r="43">
      <c r="A43" t="inlineStr">
        <is>
          <t>Less: Selling Costs</t>
        </is>
      </c>
      <c r="B43" s="7">
        <f>B40</f>
        <v/>
      </c>
    </row>
    <row r="44">
      <c r="A44" t="inlineStr">
        <is>
          <t>Net Proceeds</t>
        </is>
      </c>
      <c r="B44" s="8">
        <f>B44-B45</f>
        <v/>
      </c>
    </row>
    <row r="45">
      <c r="A45" t="inlineStr">
        <is>
          <t>Gross Profit</t>
        </is>
      </c>
      <c r="B45" s="10">
        <f>B46-B43</f>
        <v/>
      </c>
    </row>
    <row r="46">
      <c r="A46" t="inlineStr">
        <is>
          <t>ROI (Return on Investment)</t>
        </is>
      </c>
      <c r="B46" s="11">
        <f>B47/B43</f>
        <v/>
      </c>
    </row>
    <row r="48">
      <c r="A48" s="2" t="inlineStr">
        <is>
          <t>KEY METRICS</t>
        </is>
      </c>
    </row>
    <row r="49">
      <c r="A49" t="inlineStr">
        <is>
          <t>70% Rule (Max Offer)</t>
        </is>
      </c>
      <c r="B49" s="7">
        <f>B37*0.70-B24</f>
        <v/>
      </c>
      <c r="C49" s="12" t="inlineStr">
        <is>
          <t>(ARV × 70% - Rehab)</t>
        </is>
      </c>
    </row>
    <row r="50">
      <c r="A50" t="inlineStr">
        <is>
          <t>Profit Margin</t>
        </is>
      </c>
      <c r="B50" s="13">
        <f>B47/B44</f>
        <v/>
      </c>
    </row>
    <row r="51">
      <c r="A51" t="inlineStr">
        <is>
          <t>Cash-on-Cash Return</t>
        </is>
      </c>
      <c r="B51" s="13">
        <f>B47/B43</f>
        <v/>
      </c>
    </row>
    <row r="54">
      <c r="A54" s="14" t="inlineStr">
        <is>
          <t>INSTRUCTIONS:</t>
        </is>
      </c>
    </row>
    <row r="55">
      <c r="A55" s="15" t="inlineStr">
        <is>
          <t>• Blue numbers = Input your values</t>
        </is>
      </c>
    </row>
    <row r="56">
      <c r="A56" s="15" t="inlineStr">
        <is>
          <t>• Black numbers = Auto-calculated</t>
        </is>
      </c>
    </row>
    <row r="57">
      <c r="A57" s="15" t="inlineStr">
        <is>
          <t>• 70% Rule: Your max offer should be ARV × 70% - Rehab costs</t>
        </is>
      </c>
    </row>
    <row r="58">
      <c r="A58" s="15" t="inlineStr">
        <is>
          <t>• Target ROI: 15-25% minimum for wholesale, 30%+ for flips</t>
        </is>
      </c>
    </row>
  </sheetData>
  <mergeCells count="9">
    <mergeCell ref="A1:D1"/>
    <mergeCell ref="A40:D40"/>
    <mergeCell ref="A34:D34"/>
    <mergeCell ref="A12:D12"/>
    <mergeCell ref="A48:D48"/>
    <mergeCell ref="A3:D3"/>
    <mergeCell ref="B4:D4"/>
    <mergeCell ref="A7:D7"/>
    <mergeCell ref="A24:D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2026-02-26T22:00:01Z</dcterms:created>
  <dcterms:modified xmlns:dcterms="http://purl.org/dc/terms/" xmlns:xsi="http://www.w3.org/2001/XMLSchema-instance" xsi:type="dcterms:W3CDTF">2026-02-26T22:00:01Z</dcterms:modified>
</cp:coreProperties>
</file>